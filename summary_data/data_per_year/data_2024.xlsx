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Adel\Documents\Iqbals Ordner\InfoVis\summarized_data\"/>
    </mc:Choice>
  </mc:AlternateContent>
  <xr:revisionPtr revIDLastSave="0" documentId="13_ncr:1_{5BEA80E2-E588-4BA4-9CA3-011D5BBB8A1D}" xr6:coauthVersionLast="47" xr6:coauthVersionMax="47" xr10:uidLastSave="{00000000-0000-0000-0000-000000000000}"/>
  <bookViews>
    <workbookView xWindow="28680" yWindow="-120" windowWidth="29040" windowHeight="17640" activeTab="2" xr2:uid="{3D20279E-C569-43A0-AA92-7695805CD390}"/>
  </bookViews>
  <sheets>
    <sheet name="SoSe_2024" sheetId="6" r:id="rId1"/>
    <sheet name="WiSe_2023_24" sheetId="5" r:id="rId2"/>
    <sheet name="data_2024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7" l="1"/>
  <c r="U14" i="7"/>
  <c r="T15" i="7"/>
  <c r="U15" i="7"/>
  <c r="T16" i="7"/>
  <c r="U16" i="7"/>
  <c r="T17" i="7"/>
  <c r="U17" i="7"/>
  <c r="S15" i="7"/>
  <c r="S16" i="7"/>
  <c r="S17" i="7"/>
  <c r="S14" i="7"/>
  <c r="T14" i="6"/>
  <c r="T18" i="7" s="1"/>
  <c r="U14" i="6"/>
  <c r="U18" i="7" s="1"/>
  <c r="T10" i="6"/>
  <c r="T10" i="7" s="1"/>
  <c r="U10" i="6"/>
  <c r="U10" i="7" s="1"/>
  <c r="T6" i="6"/>
  <c r="T6" i="7" s="1"/>
  <c r="U6" i="6"/>
  <c r="U6" i="7" s="1"/>
  <c r="S6" i="6"/>
  <c r="S6" i="7" s="1"/>
  <c r="S10" i="6"/>
  <c r="S10" i="7" s="1"/>
  <c r="S14" i="6"/>
  <c r="S18" i="7" s="1"/>
  <c r="S26" i="7"/>
  <c r="T26" i="7"/>
  <c r="U26" i="7"/>
  <c r="S27" i="7"/>
  <c r="T27" i="7"/>
  <c r="U27" i="7"/>
  <c r="S28" i="7"/>
  <c r="T28" i="7"/>
  <c r="U28" i="7"/>
  <c r="T21" i="7"/>
  <c r="U21" i="7"/>
  <c r="T29" i="7"/>
  <c r="U29" i="7"/>
  <c r="T30" i="7"/>
  <c r="U30" i="7"/>
  <c r="T31" i="7"/>
  <c r="U31" i="7"/>
  <c r="T32" i="7"/>
  <c r="U32" i="7"/>
  <c r="T33" i="7"/>
  <c r="U33" i="7"/>
  <c r="S29" i="7"/>
  <c r="S30" i="7"/>
  <c r="S31" i="7"/>
  <c r="S32" i="7"/>
  <c r="S33" i="7"/>
  <c r="T7" i="7"/>
  <c r="U7" i="7"/>
  <c r="T8" i="7"/>
  <c r="U8" i="7"/>
  <c r="T9" i="7"/>
  <c r="U9" i="7"/>
  <c r="T11" i="7"/>
  <c r="U11" i="7"/>
  <c r="T12" i="7"/>
  <c r="U12" i="7"/>
  <c r="T13" i="7"/>
  <c r="U13" i="7"/>
  <c r="T19" i="7"/>
  <c r="U19" i="7"/>
  <c r="T20" i="7"/>
  <c r="U20" i="7"/>
  <c r="S7" i="7"/>
  <c r="S8" i="7"/>
  <c r="S9" i="7"/>
  <c r="S11" i="7"/>
  <c r="S12" i="7"/>
  <c r="S13" i="7"/>
  <c r="S19" i="7"/>
  <c r="S20" i="7"/>
  <c r="S21" i="7"/>
  <c r="T14" i="5"/>
  <c r="U14" i="5"/>
  <c r="S14" i="5"/>
  <c r="T10" i="5"/>
  <c r="U10" i="5"/>
  <c r="S10" i="5"/>
  <c r="T6" i="5"/>
  <c r="U6" i="5"/>
  <c r="S6" i="5"/>
  <c r="U25" i="7" l="1"/>
  <c r="U23" i="7"/>
  <c r="U24" i="7"/>
  <c r="T25" i="7"/>
  <c r="T23" i="7"/>
  <c r="T24" i="7"/>
  <c r="T22" i="7"/>
  <c r="U22" i="7"/>
  <c r="S22" i="7"/>
  <c r="S23" i="7"/>
  <c r="S25" i="7"/>
  <c r="S24" i="7"/>
</calcChain>
</file>

<file path=xl/sharedStrings.xml><?xml version="1.0" encoding="utf-8"?>
<sst xmlns="http://schemas.openxmlformats.org/spreadsheetml/2006/main" count="157" uniqueCount="35">
  <si>
    <t>ohne Beurlaubte</t>
  </si>
  <si>
    <t>pro Kopf</t>
  </si>
  <si>
    <t>Abzüglich Ausländische Abschlüsse</t>
  </si>
  <si>
    <t>Nur Einfach-Studiengänge berücksichtigt und keine Mehrfach oder Kombinationsstudiengänge</t>
  </si>
  <si>
    <t>Annhame, BWL Bachelor wäre WiWi Bachelor</t>
  </si>
  <si>
    <t>Abschluss</t>
  </si>
  <si>
    <t>1.FS</t>
  </si>
  <si>
    <t>2.FS</t>
  </si>
  <si>
    <t>3.FS</t>
  </si>
  <si>
    <t>4.FS</t>
  </si>
  <si>
    <t>5.FS</t>
  </si>
  <si>
    <t>6.FS</t>
  </si>
  <si>
    <t>7.FS</t>
  </si>
  <si>
    <t>8.FS</t>
  </si>
  <si>
    <t>9.FS</t>
  </si>
  <si>
    <t>10.FS</t>
  </si>
  <si>
    <t>11.FS</t>
  </si>
  <si>
    <t>12.FS</t>
  </si>
  <si>
    <t>13.FS</t>
  </si>
  <si>
    <t>&gt;13.FS</t>
  </si>
  <si>
    <t>Gesamt</t>
  </si>
  <si>
    <t>Studierende in RSZ</t>
  </si>
  <si>
    <t>Abschlussprüfungen</t>
  </si>
  <si>
    <t>männlich</t>
  </si>
  <si>
    <t>weiblich</t>
  </si>
  <si>
    <t>Ausländer</t>
  </si>
  <si>
    <t>JLU BSc</t>
  </si>
  <si>
    <t>JLU MSc</t>
  </si>
  <si>
    <t>Zahl</t>
  </si>
  <si>
    <t>Exmatrikulationen</t>
  </si>
  <si>
    <t>BWL MSc</t>
  </si>
  <si>
    <t>VWL MSc</t>
  </si>
  <si>
    <t>WiWi BSc</t>
  </si>
  <si>
    <t>FB02 WiWi</t>
  </si>
  <si>
    <t>Master FB02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</si>
</sst>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 applyBorder="1"/>
    <xf numFmtId="0" fontId="0" fillId="2" borderId="5" xfId="0" applyFill="1" applyBorder="1"/>
    <xf numFmtId="0" fontId="1" fillId="2" borderId="0" xfId="0" applyFont="1" applyFill="1" applyBorder="1"/>
    <xf numFmtId="0" fontId="0" fillId="2" borderId="4" xfId="0" applyFill="1" applyBorder="1"/>
    <xf numFmtId="0" fontId="0" fillId="0" borderId="9" xfId="0" applyBorder="1"/>
    <xf numFmtId="0" fontId="0" fillId="0" borderId="10" xfId="0" applyBorder="1"/>
    <xf numFmtId="0" fontId="0" fillId="2" borderId="10" xfId="0" applyFill="1" applyBorder="1"/>
    <xf numFmtId="0" fontId="0" fillId="3" borderId="5" xfId="0" applyFill="1" applyBorder="1"/>
    <xf numFmtId="0" fontId="0" fillId="0" borderId="11" xfId="0" applyBorder="1"/>
    <xf numFmtId="0" fontId="0" fillId="3" borderId="8" xfId="0" applyFill="1" applyBorder="1"/>
    <xf numFmtId="0" fontId="0" fillId="3" borderId="11" xfId="0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9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10" xfId="0" applyFont="1" applyBorder="1"/>
    <xf numFmtId="0" fontId="3" fillId="2" borderId="4" xfId="0" applyFont="1" applyFill="1" applyBorder="1"/>
    <xf numFmtId="0" fontId="2" fillId="2" borderId="4" xfId="0" applyFont="1" applyFill="1" applyBorder="1"/>
    <xf numFmtId="0" fontId="2" fillId="2" borderId="10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0" borderId="11" xfId="0" applyFont="1" applyBorder="1"/>
    <xf numFmtId="0" fontId="3" fillId="2" borderId="1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A7DF-6299-43E6-997F-61F411ADD290}">
  <dimension ref="A1:V25"/>
  <sheetViews>
    <sheetView zoomScale="120" zoomScaleNormal="120" workbookViewId="0">
      <selection activeCell="U10" sqref="U10"/>
    </sheetView>
  </sheetViews>
  <sheetFormatPr baseColWidth="10" defaultRowHeight="14.4" outlineLevelRow="1" outlineLevelCol="1" x14ac:dyDescent="0.3"/>
  <cols>
    <col min="2" max="2" width="8.21875" customWidth="1"/>
    <col min="3" max="3" width="15.77734375" customWidth="1"/>
    <col min="4" max="4" width="17.88671875" customWidth="1"/>
    <col min="5" max="18" width="14.33203125" hidden="1" customWidth="1" outlineLevel="1"/>
    <col min="19" max="19" width="11.5546875" collapsed="1"/>
    <col min="20" max="20" width="16.6640625" customWidth="1"/>
    <col min="21" max="21" width="17.88671875" customWidth="1"/>
    <col min="22" max="22" width="18.6640625" customWidth="1"/>
  </cols>
  <sheetData>
    <row r="1" spans="1:22" x14ac:dyDescent="0.3">
      <c r="A1" t="s">
        <v>0</v>
      </c>
      <c r="C1" t="s">
        <v>1</v>
      </c>
      <c r="D1" t="s">
        <v>2</v>
      </c>
    </row>
    <row r="2" spans="1:22" x14ac:dyDescent="0.3">
      <c r="A2" t="s">
        <v>3</v>
      </c>
    </row>
    <row r="3" spans="1:22" x14ac:dyDescent="0.3">
      <c r="C3" t="s">
        <v>4</v>
      </c>
    </row>
    <row r="5" spans="1:22" x14ac:dyDescent="0.3">
      <c r="C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28</v>
      </c>
      <c r="T5" s="5" t="s">
        <v>29</v>
      </c>
      <c r="U5" s="5" t="s">
        <v>21</v>
      </c>
      <c r="V5" t="s">
        <v>22</v>
      </c>
    </row>
    <row r="6" spans="1:22" x14ac:dyDescent="0.3">
      <c r="C6" t="s">
        <v>30</v>
      </c>
      <c r="D6" s="2" t="s">
        <v>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>
        <f>S8-S7</f>
        <v>374</v>
      </c>
      <c r="T6" s="4">
        <f t="shared" ref="T6:U6" si="0">T8-T7</f>
        <v>69</v>
      </c>
      <c r="U6" s="4">
        <f t="shared" si="0"/>
        <v>272</v>
      </c>
      <c r="V6" s="4"/>
    </row>
    <row r="7" spans="1:22" x14ac:dyDescent="0.3">
      <c r="D7" s="5" t="s">
        <v>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">
        <v>305</v>
      </c>
      <c r="T7" s="17">
        <v>53</v>
      </c>
      <c r="U7" s="17">
        <v>213</v>
      </c>
      <c r="V7" s="6"/>
    </row>
    <row r="8" spans="1:22" x14ac:dyDescent="0.3">
      <c r="D8" s="7" t="s">
        <v>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8">
        <v>679</v>
      </c>
      <c r="T8" s="18">
        <v>122</v>
      </c>
      <c r="U8" s="18">
        <v>485</v>
      </c>
      <c r="V8" s="13"/>
    </row>
    <row r="9" spans="1:22" x14ac:dyDescent="0.3">
      <c r="D9" s="5" t="s">
        <v>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">
        <v>159</v>
      </c>
      <c r="T9" s="17">
        <v>17</v>
      </c>
      <c r="U9" s="17">
        <v>113</v>
      </c>
      <c r="V9" s="19"/>
    </row>
    <row r="10" spans="1:22" x14ac:dyDescent="0.3">
      <c r="C10" t="s">
        <v>31</v>
      </c>
      <c r="D10" s="2" t="s">
        <v>23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4">
        <f>S12-S11</f>
        <v>74</v>
      </c>
      <c r="T10" s="4">
        <f t="shared" ref="T10:U10" si="1">T12-T11</f>
        <v>11</v>
      </c>
      <c r="U10" s="4">
        <f t="shared" si="1"/>
        <v>42</v>
      </c>
      <c r="V10" s="4"/>
    </row>
    <row r="11" spans="1:22" x14ac:dyDescent="0.3">
      <c r="D11" s="5" t="s">
        <v>24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">
        <v>45</v>
      </c>
      <c r="T11" s="17">
        <v>17</v>
      </c>
      <c r="U11" s="17">
        <v>23</v>
      </c>
      <c r="V11" s="6"/>
    </row>
    <row r="12" spans="1:22" x14ac:dyDescent="0.3">
      <c r="D12" s="7" t="s">
        <v>20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8">
        <v>119</v>
      </c>
      <c r="T12" s="18">
        <v>28</v>
      </c>
      <c r="U12" s="18">
        <v>65</v>
      </c>
      <c r="V12" s="8"/>
    </row>
    <row r="13" spans="1:22" x14ac:dyDescent="0.3">
      <c r="D13" s="5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">
        <v>29</v>
      </c>
      <c r="T13" s="20">
        <v>8</v>
      </c>
      <c r="U13" s="20">
        <v>19</v>
      </c>
      <c r="V13" s="19"/>
    </row>
    <row r="14" spans="1:22" x14ac:dyDescent="0.3">
      <c r="C14" t="s">
        <v>32</v>
      </c>
      <c r="D14" s="2" t="s">
        <v>23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4">
        <f>S16-S15</f>
        <v>901</v>
      </c>
      <c r="T14" s="4">
        <f t="shared" ref="T14:U14" si="2">T16-T15</f>
        <v>81</v>
      </c>
      <c r="U14" s="4">
        <f t="shared" si="2"/>
        <v>643</v>
      </c>
      <c r="V14" s="4"/>
    </row>
    <row r="15" spans="1:22" x14ac:dyDescent="0.3">
      <c r="D15" s="5" t="s">
        <v>24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">
        <v>528</v>
      </c>
      <c r="T15" s="17">
        <v>65</v>
      </c>
      <c r="U15" s="17">
        <v>405</v>
      </c>
      <c r="V15" s="6"/>
    </row>
    <row r="16" spans="1:22" x14ac:dyDescent="0.3">
      <c r="D16" s="7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8">
        <v>1429</v>
      </c>
      <c r="T16" s="18">
        <v>146</v>
      </c>
      <c r="U16" s="18">
        <v>1048</v>
      </c>
      <c r="V16" s="8"/>
    </row>
    <row r="17" spans="3:22" x14ac:dyDescent="0.3">
      <c r="D17" s="9" t="s">
        <v>25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1">
        <v>133</v>
      </c>
      <c r="T17" s="20">
        <v>10</v>
      </c>
      <c r="U17" s="20">
        <v>88</v>
      </c>
      <c r="V17" s="22"/>
    </row>
    <row r="18" spans="3:22" outlineLevel="1" x14ac:dyDescent="0.3">
      <c r="C18" t="s">
        <v>26</v>
      </c>
      <c r="D18" s="2" t="s">
        <v>23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4">
        <v>2849</v>
      </c>
      <c r="T18" s="16">
        <v>355</v>
      </c>
      <c r="U18" s="16">
        <v>1978</v>
      </c>
      <c r="V18" s="4"/>
    </row>
    <row r="19" spans="3:22" outlineLevel="1" x14ac:dyDescent="0.3">
      <c r="D19" s="5" t="s">
        <v>24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">
        <v>3850</v>
      </c>
      <c r="T19" s="17">
        <v>462</v>
      </c>
      <c r="U19" s="17">
        <v>2808</v>
      </c>
      <c r="V19" s="6"/>
    </row>
    <row r="20" spans="3:22" outlineLevel="1" x14ac:dyDescent="0.3">
      <c r="D20" s="7" t="s">
        <v>20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8">
        <v>6699</v>
      </c>
      <c r="T20" s="18">
        <v>817</v>
      </c>
      <c r="U20" s="18">
        <v>4786</v>
      </c>
      <c r="V20" s="8"/>
    </row>
    <row r="21" spans="3:22" outlineLevel="1" x14ac:dyDescent="0.3">
      <c r="D21" s="9" t="s">
        <v>25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1">
        <v>428</v>
      </c>
      <c r="T21" s="20">
        <v>50</v>
      </c>
      <c r="U21" s="20">
        <v>290</v>
      </c>
      <c r="V21" s="19"/>
    </row>
    <row r="22" spans="3:22" outlineLevel="1" x14ac:dyDescent="0.3">
      <c r="C22" t="s">
        <v>27</v>
      </c>
      <c r="D22" s="2" t="s">
        <v>23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4">
        <v>1571</v>
      </c>
      <c r="T22" s="16">
        <v>279</v>
      </c>
      <c r="U22" s="16">
        <v>942</v>
      </c>
      <c r="V22" s="4"/>
    </row>
    <row r="23" spans="3:22" outlineLevel="1" x14ac:dyDescent="0.3">
      <c r="D23" s="5" t="s">
        <v>24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">
        <v>2394</v>
      </c>
      <c r="T23" s="17">
        <v>438</v>
      </c>
      <c r="U23" s="17">
        <v>1539</v>
      </c>
      <c r="V23" s="6"/>
    </row>
    <row r="24" spans="3:22" outlineLevel="1" x14ac:dyDescent="0.3">
      <c r="D24" s="7" t="s">
        <v>20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8">
        <v>3965</v>
      </c>
      <c r="T24" s="18">
        <v>717</v>
      </c>
      <c r="U24" s="18">
        <v>2481</v>
      </c>
      <c r="V24" s="8"/>
    </row>
    <row r="25" spans="3:22" outlineLevel="1" x14ac:dyDescent="0.3">
      <c r="D25" s="9" t="s">
        <v>25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1">
        <v>1079</v>
      </c>
      <c r="T25" s="20">
        <v>143</v>
      </c>
      <c r="U25" s="20">
        <v>634</v>
      </c>
      <c r="V25" s="2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67FB-DBAF-4FB3-BF1A-47FF08BCC630}">
  <dimension ref="A1:V25"/>
  <sheetViews>
    <sheetView zoomScale="120" zoomScaleNormal="120" workbookViewId="0">
      <selection activeCell="AA20" sqref="AA20"/>
    </sheetView>
  </sheetViews>
  <sheetFormatPr baseColWidth="10" defaultRowHeight="14.4" outlineLevelRow="1" outlineLevelCol="1" x14ac:dyDescent="0.3"/>
  <cols>
    <col min="2" max="2" width="8.21875" customWidth="1"/>
    <col min="3" max="3" width="15.77734375" customWidth="1"/>
    <col min="4" max="4" width="17.88671875" customWidth="1"/>
    <col min="5" max="18" width="14.33203125" hidden="1" customWidth="1" outlineLevel="1"/>
    <col min="19" max="19" width="11.5546875" collapsed="1"/>
    <col min="20" max="20" width="16.6640625" customWidth="1"/>
    <col min="21" max="21" width="17.88671875" customWidth="1"/>
    <col min="22" max="22" width="18.6640625" customWidth="1"/>
  </cols>
  <sheetData>
    <row r="1" spans="1:22" x14ac:dyDescent="0.3">
      <c r="A1" t="s">
        <v>0</v>
      </c>
      <c r="C1" t="s">
        <v>1</v>
      </c>
      <c r="D1" t="s">
        <v>2</v>
      </c>
    </row>
    <row r="2" spans="1:22" x14ac:dyDescent="0.3">
      <c r="A2" t="s">
        <v>3</v>
      </c>
    </row>
    <row r="3" spans="1:22" x14ac:dyDescent="0.3">
      <c r="C3" t="s">
        <v>4</v>
      </c>
    </row>
    <row r="5" spans="1:22" x14ac:dyDescent="0.3">
      <c r="C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28</v>
      </c>
      <c r="T5" s="5" t="s">
        <v>29</v>
      </c>
      <c r="U5" s="5" t="s">
        <v>21</v>
      </c>
      <c r="V5" t="s">
        <v>22</v>
      </c>
    </row>
    <row r="6" spans="1:22" x14ac:dyDescent="0.3">
      <c r="C6" t="s">
        <v>30</v>
      </c>
      <c r="D6" s="2" t="s">
        <v>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>
        <f>S8-S7</f>
        <v>372</v>
      </c>
      <c r="T6" s="4">
        <f t="shared" ref="T6:U6" si="0">T8-T7</f>
        <v>55</v>
      </c>
      <c r="U6" s="4">
        <f t="shared" si="0"/>
        <v>308</v>
      </c>
      <c r="V6" s="4"/>
    </row>
    <row r="7" spans="1:22" x14ac:dyDescent="0.3">
      <c r="D7" s="5" t="s">
        <v>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">
        <v>278</v>
      </c>
      <c r="T7" s="17">
        <v>73</v>
      </c>
      <c r="U7" s="17">
        <v>175</v>
      </c>
      <c r="V7" s="6"/>
    </row>
    <row r="8" spans="1:22" x14ac:dyDescent="0.3">
      <c r="D8" s="7" t="s">
        <v>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8">
        <v>650</v>
      </c>
      <c r="T8" s="18">
        <v>128</v>
      </c>
      <c r="U8" s="18">
        <v>483</v>
      </c>
      <c r="V8" s="13"/>
    </row>
    <row r="9" spans="1:22" x14ac:dyDescent="0.3">
      <c r="D9" s="5" t="s">
        <v>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">
        <v>137</v>
      </c>
      <c r="T9" s="17">
        <v>25</v>
      </c>
      <c r="U9" s="17">
        <v>84</v>
      </c>
      <c r="V9" s="19"/>
    </row>
    <row r="10" spans="1:22" x14ac:dyDescent="0.3">
      <c r="C10" t="s">
        <v>31</v>
      </c>
      <c r="D10" s="2" t="s">
        <v>23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4">
        <f>S12-S11</f>
        <v>81</v>
      </c>
      <c r="T10" s="4">
        <f t="shared" ref="T10:U10" si="1">T12-T11</f>
        <v>22</v>
      </c>
      <c r="U10" s="4">
        <f t="shared" si="1"/>
        <v>40</v>
      </c>
      <c r="V10" s="4"/>
    </row>
    <row r="11" spans="1:22" x14ac:dyDescent="0.3">
      <c r="D11" s="5" t="s">
        <v>24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">
        <v>59</v>
      </c>
      <c r="T11" s="17">
        <v>18</v>
      </c>
      <c r="U11" s="17">
        <v>25</v>
      </c>
      <c r="V11" s="6"/>
    </row>
    <row r="12" spans="1:22" x14ac:dyDescent="0.3">
      <c r="D12" s="7" t="s">
        <v>20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8">
        <v>140</v>
      </c>
      <c r="T12" s="18">
        <v>40</v>
      </c>
      <c r="U12" s="18">
        <v>65</v>
      </c>
      <c r="V12" s="8"/>
    </row>
    <row r="13" spans="1:22" x14ac:dyDescent="0.3">
      <c r="D13" s="5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">
        <v>40</v>
      </c>
      <c r="T13" s="20">
        <v>9</v>
      </c>
      <c r="U13" s="20">
        <v>22</v>
      </c>
      <c r="V13" s="19"/>
    </row>
    <row r="14" spans="1:22" x14ac:dyDescent="0.3">
      <c r="C14" t="s">
        <v>32</v>
      </c>
      <c r="D14" s="2" t="s">
        <v>23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4">
        <f>S16-S15</f>
        <v>857</v>
      </c>
      <c r="T14" s="4">
        <f t="shared" ref="T14:U14" si="2">T16-T15</f>
        <v>123</v>
      </c>
      <c r="U14" s="4">
        <f t="shared" si="2"/>
        <v>608</v>
      </c>
      <c r="V14" s="4"/>
    </row>
    <row r="15" spans="1:22" x14ac:dyDescent="0.3">
      <c r="D15" s="5" t="s">
        <v>24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">
        <v>562</v>
      </c>
      <c r="T15" s="17">
        <v>74</v>
      </c>
      <c r="U15" s="17">
        <v>363</v>
      </c>
      <c r="V15" s="6"/>
    </row>
    <row r="16" spans="1:22" x14ac:dyDescent="0.3">
      <c r="D16" s="7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8">
        <v>1419</v>
      </c>
      <c r="T16" s="18">
        <v>197</v>
      </c>
      <c r="U16" s="18">
        <v>971</v>
      </c>
      <c r="V16" s="8"/>
    </row>
    <row r="17" spans="3:22" x14ac:dyDescent="0.3">
      <c r="D17" s="9" t="s">
        <v>25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1">
        <v>130</v>
      </c>
      <c r="T17" s="20">
        <v>11</v>
      </c>
      <c r="U17" s="20">
        <v>76</v>
      </c>
      <c r="V17" s="22"/>
    </row>
    <row r="18" spans="3:22" outlineLevel="1" x14ac:dyDescent="0.3">
      <c r="C18" t="s">
        <v>26</v>
      </c>
      <c r="D18" s="2" t="s">
        <v>23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4">
        <v>3088</v>
      </c>
      <c r="T18" s="16">
        <v>481</v>
      </c>
      <c r="U18" s="16">
        <v>2069</v>
      </c>
      <c r="V18" s="4"/>
    </row>
    <row r="19" spans="3:22" outlineLevel="1" x14ac:dyDescent="0.3">
      <c r="D19" s="5" t="s">
        <v>24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">
        <v>4282</v>
      </c>
      <c r="T19" s="17">
        <v>634</v>
      </c>
      <c r="U19" s="17">
        <v>2976</v>
      </c>
      <c r="V19" s="6"/>
    </row>
    <row r="20" spans="3:22" outlineLevel="1" x14ac:dyDescent="0.3">
      <c r="D20" s="7" t="s">
        <v>20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8">
        <v>7370</v>
      </c>
      <c r="T20" s="18">
        <v>1115</v>
      </c>
      <c r="U20" s="18">
        <v>5045</v>
      </c>
      <c r="V20" s="8"/>
    </row>
    <row r="21" spans="3:22" outlineLevel="1" x14ac:dyDescent="0.3">
      <c r="D21" s="9" t="s">
        <v>25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1">
        <v>467</v>
      </c>
      <c r="T21" s="20">
        <v>51</v>
      </c>
      <c r="U21" s="20">
        <v>295</v>
      </c>
      <c r="V21" s="19"/>
    </row>
    <row r="22" spans="3:22" outlineLevel="1" x14ac:dyDescent="0.3">
      <c r="C22" t="s">
        <v>27</v>
      </c>
      <c r="D22" s="2" t="s">
        <v>23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4">
        <v>1720</v>
      </c>
      <c r="T22" s="16">
        <v>261</v>
      </c>
      <c r="U22" s="16">
        <v>942</v>
      </c>
      <c r="V22" s="4"/>
    </row>
    <row r="23" spans="3:22" outlineLevel="1" x14ac:dyDescent="0.3">
      <c r="D23" s="5" t="s">
        <v>24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">
        <v>2658</v>
      </c>
      <c r="T23" s="17">
        <v>432</v>
      </c>
      <c r="U23" s="17">
        <v>1561</v>
      </c>
      <c r="V23" s="6"/>
    </row>
    <row r="24" spans="3:22" outlineLevel="1" x14ac:dyDescent="0.3">
      <c r="D24" s="7" t="s">
        <v>20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8">
        <v>4378</v>
      </c>
      <c r="T24" s="18">
        <v>693</v>
      </c>
      <c r="U24" s="18">
        <v>2503</v>
      </c>
      <c r="V24" s="8"/>
    </row>
    <row r="25" spans="3:22" outlineLevel="1" x14ac:dyDescent="0.3">
      <c r="D25" s="9" t="s">
        <v>25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1">
        <v>1132</v>
      </c>
      <c r="T25" s="20">
        <v>118</v>
      </c>
      <c r="U25" s="20">
        <v>655</v>
      </c>
      <c r="V25" s="2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AFE8-ABCD-454A-8CF7-8699006239D4}">
  <dimension ref="A1:V34"/>
  <sheetViews>
    <sheetView tabSelected="1" zoomScale="120" zoomScaleNormal="120" workbookViewId="0">
      <selection activeCell="C18" sqref="C18"/>
    </sheetView>
  </sheetViews>
  <sheetFormatPr baseColWidth="10" defaultRowHeight="14.4" outlineLevelRow="1" outlineLevelCol="1" x14ac:dyDescent="0.3"/>
  <cols>
    <col min="2" max="2" width="8.21875" customWidth="1"/>
    <col min="3" max="3" width="15.77734375" customWidth="1"/>
    <col min="4" max="4" width="17.88671875" customWidth="1"/>
    <col min="5" max="18" width="14.33203125" hidden="1" customWidth="1" outlineLevel="1"/>
    <col min="19" max="19" width="11.5546875" collapsed="1"/>
    <col min="20" max="20" width="16.6640625" customWidth="1"/>
    <col min="21" max="21" width="17.88671875" customWidth="1"/>
    <col min="22" max="22" width="18.6640625" customWidth="1"/>
  </cols>
  <sheetData>
    <row r="1" spans="1:22" x14ac:dyDescent="0.3">
      <c r="A1" t="s">
        <v>0</v>
      </c>
      <c r="C1" t="s">
        <v>1</v>
      </c>
      <c r="D1" t="s">
        <v>2</v>
      </c>
    </row>
    <row r="2" spans="1:22" x14ac:dyDescent="0.3">
      <c r="A2" t="s">
        <v>3</v>
      </c>
    </row>
    <row r="3" spans="1:22" x14ac:dyDescent="0.3">
      <c r="C3" t="s">
        <v>4</v>
      </c>
    </row>
    <row r="5" spans="1:22" x14ac:dyDescent="0.3">
      <c r="C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28</v>
      </c>
      <c r="T5" s="5" t="s">
        <v>29</v>
      </c>
      <c r="U5" s="5" t="s">
        <v>21</v>
      </c>
      <c r="V5" t="s">
        <v>22</v>
      </c>
    </row>
    <row r="6" spans="1:22" x14ac:dyDescent="0.3">
      <c r="C6" t="s">
        <v>30</v>
      </c>
      <c r="D6" s="2" t="s">
        <v>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>
        <f>SoSe_2024!S6+WiSe_2023_24!S6</f>
        <v>746</v>
      </c>
      <c r="T6" s="3">
        <f>SoSe_2024!T6+WiSe_2023_24!T6</f>
        <v>124</v>
      </c>
      <c r="U6" s="4">
        <f>SoSe_2024!U6+WiSe_2023_24!U6</f>
        <v>580</v>
      </c>
      <c r="V6" s="4"/>
    </row>
    <row r="7" spans="1:22" x14ac:dyDescent="0.3">
      <c r="D7" s="5" t="s">
        <v>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>
        <f>SoSe_2024!S7+WiSe_2023_24!S7</f>
        <v>583</v>
      </c>
      <c r="T7" s="1">
        <f>SoSe_2024!T7+WiSe_2023_24!T7</f>
        <v>126</v>
      </c>
      <c r="U7" s="6">
        <f>SoSe_2024!U7+WiSe_2023_24!U7</f>
        <v>388</v>
      </c>
      <c r="V7" s="6"/>
    </row>
    <row r="8" spans="1:22" x14ac:dyDescent="0.3">
      <c r="D8" s="7" t="s">
        <v>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5">
        <f>SoSe_2024!S8+WiSe_2023_24!S8</f>
        <v>1329</v>
      </c>
      <c r="T8" s="12">
        <f>SoSe_2024!T8+WiSe_2023_24!T8</f>
        <v>250</v>
      </c>
      <c r="U8" s="13">
        <f>SoSe_2024!U8+WiSe_2023_24!U8</f>
        <v>968</v>
      </c>
      <c r="V8" s="13"/>
    </row>
    <row r="9" spans="1:22" x14ac:dyDescent="0.3">
      <c r="D9" s="5" t="s">
        <v>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5">
        <f>SoSe_2024!S9+WiSe_2023_24!S9</f>
        <v>296</v>
      </c>
      <c r="T9" s="1">
        <f>SoSe_2024!T9+WiSe_2023_24!T9</f>
        <v>42</v>
      </c>
      <c r="U9" s="6">
        <f>SoSe_2024!U9+WiSe_2023_24!U9</f>
        <v>197</v>
      </c>
      <c r="V9" s="19"/>
    </row>
    <row r="10" spans="1:22" x14ac:dyDescent="0.3">
      <c r="C10" t="s">
        <v>31</v>
      </c>
      <c r="D10" s="2" t="s">
        <v>23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>
        <f>SoSe_2024!S10+WiSe_2023_24!S10</f>
        <v>155</v>
      </c>
      <c r="T10" s="3">
        <f>SoSe_2024!T10+WiSe_2023_24!T10</f>
        <v>33</v>
      </c>
      <c r="U10" s="4">
        <f>SoSe_2024!U10+WiSe_2023_24!U10</f>
        <v>82</v>
      </c>
      <c r="V10" s="4"/>
    </row>
    <row r="11" spans="1:22" x14ac:dyDescent="0.3">
      <c r="D11" s="5" t="s">
        <v>24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5">
        <f>SoSe_2024!S11+WiSe_2023_24!S11</f>
        <v>104</v>
      </c>
      <c r="T11" s="1">
        <f>SoSe_2024!T11+WiSe_2023_24!T11</f>
        <v>35</v>
      </c>
      <c r="U11" s="6">
        <f>SoSe_2024!U11+WiSe_2023_24!U11</f>
        <v>48</v>
      </c>
      <c r="V11" s="6"/>
    </row>
    <row r="12" spans="1:22" x14ac:dyDescent="0.3">
      <c r="D12" s="7" t="s">
        <v>20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5">
        <f>SoSe_2024!S12+WiSe_2023_24!S12</f>
        <v>259</v>
      </c>
      <c r="T12" s="12">
        <f>SoSe_2024!T12+WiSe_2023_24!T12</f>
        <v>68</v>
      </c>
      <c r="U12" s="13">
        <f>SoSe_2024!U12+WiSe_2023_24!U12</f>
        <v>130</v>
      </c>
      <c r="V12" s="8"/>
    </row>
    <row r="13" spans="1:22" x14ac:dyDescent="0.3">
      <c r="D13" s="5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9">
        <f>SoSe_2024!S13+WiSe_2023_24!S13</f>
        <v>69</v>
      </c>
      <c r="T13" s="10">
        <f>SoSe_2024!T13+WiSe_2023_24!T13</f>
        <v>17</v>
      </c>
      <c r="U13" s="11">
        <f>SoSe_2024!U13+WiSe_2023_24!U13</f>
        <v>41</v>
      </c>
      <c r="V13" s="19"/>
    </row>
    <row r="14" spans="1:22" x14ac:dyDescent="0.3">
      <c r="C14" t="s">
        <v>34</v>
      </c>
      <c r="D14" s="23" t="s">
        <v>23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6">
        <f>S6+S10</f>
        <v>901</v>
      </c>
      <c r="T14" s="26">
        <f t="shared" ref="T14:U14" si="0">T6+T10</f>
        <v>157</v>
      </c>
      <c r="U14" s="25">
        <f t="shared" si="0"/>
        <v>662</v>
      </c>
      <c r="V14" s="19"/>
    </row>
    <row r="15" spans="1:22" x14ac:dyDescent="0.3">
      <c r="D15" s="26" t="s">
        <v>24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6">
        <f t="shared" ref="S15:U17" si="1">S7+S11</f>
        <v>687</v>
      </c>
      <c r="T15" s="26">
        <f t="shared" si="1"/>
        <v>161</v>
      </c>
      <c r="U15" s="28">
        <f t="shared" si="1"/>
        <v>436</v>
      </c>
      <c r="V15" s="19"/>
    </row>
    <row r="16" spans="1:22" x14ac:dyDescent="0.3">
      <c r="D16" s="29" t="s">
        <v>20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9">
        <f t="shared" si="1"/>
        <v>1588</v>
      </c>
      <c r="T16" s="29">
        <f t="shared" si="1"/>
        <v>318</v>
      </c>
      <c r="U16" s="35">
        <f t="shared" si="1"/>
        <v>1098</v>
      </c>
      <c r="V16" s="14"/>
    </row>
    <row r="17" spans="3:22" x14ac:dyDescent="0.3">
      <c r="D17" s="26" t="s">
        <v>25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6">
        <f t="shared" si="1"/>
        <v>365</v>
      </c>
      <c r="T17" s="26">
        <f t="shared" si="1"/>
        <v>59</v>
      </c>
      <c r="U17" s="34">
        <f t="shared" si="1"/>
        <v>238</v>
      </c>
      <c r="V17" s="19"/>
    </row>
    <row r="18" spans="3:22" x14ac:dyDescent="0.3">
      <c r="C18" t="s">
        <v>32</v>
      </c>
      <c r="D18" s="2" t="s">
        <v>23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>
        <f>SoSe_2024!S14+WiSe_2023_24!S14</f>
        <v>1758</v>
      </c>
      <c r="T18" s="3">
        <f>SoSe_2024!T14+WiSe_2023_24!T14</f>
        <v>204</v>
      </c>
      <c r="U18" s="4">
        <f>SoSe_2024!U14+WiSe_2023_24!U14</f>
        <v>1251</v>
      </c>
      <c r="V18" s="4"/>
    </row>
    <row r="19" spans="3:22" x14ac:dyDescent="0.3">
      <c r="D19" s="5" t="s">
        <v>24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5">
        <f>SoSe_2024!S15+WiSe_2023_24!S15</f>
        <v>1090</v>
      </c>
      <c r="T19" s="1">
        <f>SoSe_2024!T15+WiSe_2023_24!T15</f>
        <v>139</v>
      </c>
      <c r="U19" s="6">
        <f>SoSe_2024!U15+WiSe_2023_24!U15</f>
        <v>768</v>
      </c>
      <c r="V19" s="6"/>
    </row>
    <row r="20" spans="3:22" x14ac:dyDescent="0.3">
      <c r="D20" s="7" t="s">
        <v>20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5">
        <f>SoSe_2024!S16+WiSe_2023_24!S16</f>
        <v>2848</v>
      </c>
      <c r="T20" s="12">
        <f>SoSe_2024!T16+WiSe_2023_24!T16</f>
        <v>343</v>
      </c>
      <c r="U20" s="13">
        <f>SoSe_2024!U16+WiSe_2023_24!U16</f>
        <v>2019</v>
      </c>
      <c r="V20" s="8"/>
    </row>
    <row r="21" spans="3:22" x14ac:dyDescent="0.3">
      <c r="D21" s="9" t="s">
        <v>25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9">
        <f>SoSe_2024!S17+WiSe_2023_24!S17</f>
        <v>263</v>
      </c>
      <c r="T21" s="9">
        <f>SoSe_2024!T17+WiSe_2023_24!T17</f>
        <v>21</v>
      </c>
      <c r="U21" s="20">
        <f>SoSe_2024!U17+WiSe_2023_24!U17</f>
        <v>164</v>
      </c>
      <c r="V21" s="21"/>
    </row>
    <row r="22" spans="3:22" x14ac:dyDescent="0.3">
      <c r="C22" t="s">
        <v>33</v>
      </c>
      <c r="D22" s="23" t="s">
        <v>23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3">
        <f>S6+S10+S18</f>
        <v>2659</v>
      </c>
      <c r="T22" s="23">
        <f t="shared" ref="T22:U22" si="2">T6+T10+T18</f>
        <v>361</v>
      </c>
      <c r="U22" s="25">
        <f t="shared" si="2"/>
        <v>1913</v>
      </c>
      <c r="V22" s="4"/>
    </row>
    <row r="23" spans="3:22" x14ac:dyDescent="0.3">
      <c r="D23" s="26" t="s">
        <v>24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6">
        <f t="shared" ref="S23:U23" si="3">S7+S11+S19</f>
        <v>1777</v>
      </c>
      <c r="T23" s="26">
        <f t="shared" si="3"/>
        <v>300</v>
      </c>
      <c r="U23" s="28">
        <f t="shared" si="3"/>
        <v>1204</v>
      </c>
      <c r="V23" s="6"/>
    </row>
    <row r="24" spans="3:22" x14ac:dyDescent="0.3">
      <c r="D24" s="29" t="s">
        <v>20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30">
        <f t="shared" ref="S24:U24" si="4">S8+S12+S20</f>
        <v>4436</v>
      </c>
      <c r="T24" s="30">
        <f t="shared" si="4"/>
        <v>661</v>
      </c>
      <c r="U24" s="31">
        <f t="shared" si="4"/>
        <v>3117</v>
      </c>
      <c r="V24" s="8"/>
    </row>
    <row r="25" spans="3:22" x14ac:dyDescent="0.3">
      <c r="D25" s="32" t="s">
        <v>25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2">
        <f t="shared" ref="S25:U25" si="5">S9+S13+S21</f>
        <v>628</v>
      </c>
      <c r="T25" s="32">
        <f t="shared" si="5"/>
        <v>80</v>
      </c>
      <c r="U25" s="34">
        <f t="shared" si="5"/>
        <v>402</v>
      </c>
      <c r="V25" s="21"/>
    </row>
    <row r="26" spans="3:22" hidden="1" outlineLevel="1" x14ac:dyDescent="0.3">
      <c r="C26" t="s">
        <v>26</v>
      </c>
      <c r="D26" s="2" t="s">
        <v>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>
        <f>SoSe_2024!S18+WiSe_2023_24!S18</f>
        <v>5937</v>
      </c>
      <c r="T26" s="3">
        <f>SoSe_2024!T18+WiSe_2023_24!T18</f>
        <v>836</v>
      </c>
      <c r="U26" s="4">
        <f>SoSe_2024!U18+WiSe_2023_24!U18</f>
        <v>4047</v>
      </c>
      <c r="V26" s="4"/>
    </row>
    <row r="27" spans="3:22" hidden="1" outlineLevel="1" x14ac:dyDescent="0.3">
      <c r="D27" s="5" t="s">
        <v>24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5">
        <f>SoSe_2024!S19+WiSe_2023_24!S19</f>
        <v>8132</v>
      </c>
      <c r="T27" s="1">
        <f>SoSe_2024!T19+WiSe_2023_24!T19</f>
        <v>1096</v>
      </c>
      <c r="U27" s="6">
        <f>SoSe_2024!U19+WiSe_2023_24!U19</f>
        <v>5784</v>
      </c>
      <c r="V27" s="6"/>
    </row>
    <row r="28" spans="3:22" hidden="1" outlineLevel="1" x14ac:dyDescent="0.3">
      <c r="D28" s="7" t="s">
        <v>20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5">
        <f>SoSe_2024!S20+WiSe_2023_24!S20</f>
        <v>14069</v>
      </c>
      <c r="T28" s="12">
        <f>SoSe_2024!T20+WiSe_2023_24!T20</f>
        <v>1932</v>
      </c>
      <c r="U28" s="13">
        <f>SoSe_2024!U20+WiSe_2023_24!U20</f>
        <v>9831</v>
      </c>
      <c r="V28" s="8"/>
    </row>
    <row r="29" spans="3:22" hidden="1" outlineLevel="1" x14ac:dyDescent="0.3">
      <c r="D29" s="9" t="s">
        <v>25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5">
        <f>SoSe_2024!S21+WiSe_2023_24!S21</f>
        <v>895</v>
      </c>
      <c r="T29" s="1">
        <f>SoSe_2024!T21+WiSe_2023_24!T21</f>
        <v>101</v>
      </c>
      <c r="U29" s="6">
        <f>SoSe_2024!U21+WiSe_2023_24!U21</f>
        <v>585</v>
      </c>
      <c r="V29" s="19"/>
    </row>
    <row r="30" spans="3:22" hidden="1" outlineLevel="1" x14ac:dyDescent="0.3">
      <c r="C30" t="s">
        <v>27</v>
      </c>
      <c r="D30" s="2" t="s">
        <v>23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5">
        <f>SoSe_2024!S22+WiSe_2023_24!S22</f>
        <v>3291</v>
      </c>
      <c r="T30" s="1">
        <f>SoSe_2024!T22+WiSe_2023_24!T22</f>
        <v>540</v>
      </c>
      <c r="U30" s="6">
        <f>SoSe_2024!U22+WiSe_2023_24!U22</f>
        <v>1884</v>
      </c>
      <c r="V30" s="4"/>
    </row>
    <row r="31" spans="3:22" hidden="1" outlineLevel="1" x14ac:dyDescent="0.3">
      <c r="D31" s="5" t="s">
        <v>24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5">
        <f>SoSe_2024!S23+WiSe_2023_24!S23</f>
        <v>5052</v>
      </c>
      <c r="T31" s="1">
        <f>SoSe_2024!T23+WiSe_2023_24!T23</f>
        <v>870</v>
      </c>
      <c r="U31" s="6">
        <f>SoSe_2024!U23+WiSe_2023_24!U23</f>
        <v>3100</v>
      </c>
      <c r="V31" s="6"/>
    </row>
    <row r="32" spans="3:22" hidden="1" outlineLevel="1" x14ac:dyDescent="0.3">
      <c r="D32" s="7" t="s">
        <v>20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5">
        <f>SoSe_2024!S24+WiSe_2023_24!S24</f>
        <v>8343</v>
      </c>
      <c r="T32" s="12">
        <f>SoSe_2024!T24+WiSe_2023_24!T24</f>
        <v>1410</v>
      </c>
      <c r="U32" s="13">
        <f>SoSe_2024!U24+WiSe_2023_24!U24</f>
        <v>4984</v>
      </c>
      <c r="V32" s="8"/>
    </row>
    <row r="33" spans="4:22" hidden="1" outlineLevel="1" x14ac:dyDescent="0.3">
      <c r="D33" s="9" t="s">
        <v>25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9">
        <f>SoSe_2024!S25+WiSe_2023_24!S25</f>
        <v>2211</v>
      </c>
      <c r="T33" s="10">
        <f>SoSe_2024!T25+WiSe_2023_24!T25</f>
        <v>261</v>
      </c>
      <c r="U33" s="11">
        <f>SoSe_2024!U25+WiSe_2023_24!U25</f>
        <v>1289</v>
      </c>
      <c r="V33" s="21"/>
    </row>
    <row r="34" spans="4:22" collapsed="1" x14ac:dyDescent="0.3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SoSe_2024</vt:lpstr>
      <vt:lpstr>WiSe_2023_24</vt:lpstr>
      <vt:lpstr>data_2024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Adel, Athar</dc:creator>
  <cp:lastModifiedBy>Adel, Athar</cp:lastModifiedBy>
  <dcterms:created xsi:type="dcterms:W3CDTF">2026-01-29T20:46:51Z</dcterms:created>
  <dcterms:modified xsi:type="dcterms:W3CDTF">2026-01-31T07:59:34Z</dcterms:modified>
</cp:coreProperties>
</file>